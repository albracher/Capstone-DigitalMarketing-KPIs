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 Formula Reminders" sheetId="1" r:id="rId4"/>
    <sheet state="visible" name="KPI Refresher" sheetId="2" r:id="rId5"/>
  </sheets>
  <definedNames/>
  <calcPr/>
</workbook>
</file>

<file path=xl/sharedStrings.xml><?xml version="1.0" encoding="utf-8"?>
<sst xmlns="http://schemas.openxmlformats.org/spreadsheetml/2006/main" count="227" uniqueCount="75">
  <si>
    <t>KPI</t>
  </si>
  <si>
    <t>Definition</t>
  </si>
  <si>
    <t>Formula</t>
  </si>
  <si>
    <t>Example</t>
  </si>
  <si>
    <t># or $ or %</t>
  </si>
  <si>
    <t>Good</t>
  </si>
  <si>
    <t>Bad</t>
  </si>
  <si>
    <t>Cost</t>
  </si>
  <si>
    <t>Cost of an ad</t>
  </si>
  <si>
    <t>N/A</t>
  </si>
  <si>
    <t>A Nike instagram ad that ran all throughout the month of May costed $4,000.</t>
  </si>
  <si>
    <t>$</t>
  </si>
  <si>
    <t>Clicks</t>
  </si>
  <si>
    <t>How many folks are click on your ad</t>
  </si>
  <si>
    <t>If I click on an Instagram ad, this counts as a click</t>
  </si>
  <si>
    <t>#</t>
  </si>
  <si>
    <t>Impression</t>
  </si>
  <si>
    <t>How many folks are viewing your ad</t>
  </si>
  <si>
    <t>If I saw an Instagram ad, this counts as an impression</t>
  </si>
  <si>
    <t>CTR</t>
  </si>
  <si>
    <t>Click-through-rate (The ratio between Clicks to Impressions)</t>
  </si>
  <si>
    <t>CTR=Clicks/Impressions</t>
  </si>
  <si>
    <t>If there are 2 clicks in an ad that generated 10 impressions, the CTR would be 20%.</t>
  </si>
  <si>
    <t>%</t>
  </si>
  <si>
    <t>High</t>
  </si>
  <si>
    <t>Low</t>
  </si>
  <si>
    <t>CPC</t>
  </si>
  <si>
    <t>Cost per click (The ratio between how much the ad cost and how many clicks it generated)</t>
  </si>
  <si>
    <t>CPC=Cost/Clicks</t>
  </si>
  <si>
    <t xml:space="preserve">A Nike instagram ad that ran all throughout the month of May costed $4,000 and had 400 clicks. The CPC (Cost per click) was $10. </t>
  </si>
  <si>
    <t>Conversions</t>
  </si>
  <si>
    <t>Conversions are actions. Actions can be sales, email sign ups, applications, and etc.</t>
  </si>
  <si>
    <t>If I saw an Instagram ad, and clicked on the ad, and bought something from their website, this would count as a conversion.</t>
  </si>
  <si>
    <t>CVR</t>
  </si>
  <si>
    <t>Conversion per click. (The ratio between how many conversions (actions) are to clicks.</t>
  </si>
  <si>
    <t>CVR=Conversion (Action)/Clicks</t>
  </si>
  <si>
    <t>A Nike Instagram ad resulted in 100 clicks, and out of the 10 clicks, there were 10 conversions/purchases, it had a CPA of $10.</t>
  </si>
  <si>
    <t>CPA</t>
  </si>
  <si>
    <t xml:space="preserve">Cost per action. (The ratio between how many conversions (actions) </t>
  </si>
  <si>
    <t>CPA=Cost/Conversions (Actions)</t>
  </si>
  <si>
    <t>A Nike Instagram ad cost $100 in the end of the campaign, it had $5 sales resulting from the ad, the CPA is $20. It cost $20 to have someone make a conversion.</t>
  </si>
  <si>
    <t>ROI</t>
  </si>
  <si>
    <t>Return on Investment (The ratio between revenue generated to cost)</t>
  </si>
  <si>
    <t>ROI=Revenue/Cost</t>
  </si>
  <si>
    <t>A Nike Instagram ad made $100 in revenue, the cost of the ad was $10, it has a ROI of $10.</t>
  </si>
  <si>
    <t>If your answer is correct, the cell will turn green. Please make sure the format of the answer is correct ($/%) (Round by the 2 decimal place)</t>
  </si>
  <si>
    <t>Activision Blizzard Entertainment Gaming Campaigns</t>
  </si>
  <si>
    <t>Sephora Beauty Brands Sale Campaigns</t>
  </si>
  <si>
    <t>San Leandro Used Honda Online Sales Campaigns</t>
  </si>
  <si>
    <t>Campaign</t>
  </si>
  <si>
    <t>Impressions</t>
  </si>
  <si>
    <t>Product</t>
  </si>
  <si>
    <t>WoW</t>
  </si>
  <si>
    <t>Saie</t>
  </si>
  <si>
    <t>Honda Civic</t>
  </si>
  <si>
    <t>Diablo</t>
  </si>
  <si>
    <t>Patrick Ta</t>
  </si>
  <si>
    <t>Honda CR-V</t>
  </si>
  <si>
    <t>Call of Duty</t>
  </si>
  <si>
    <t>Charlotte Tilbury</t>
  </si>
  <si>
    <t>Honda Accord</t>
  </si>
  <si>
    <t>Starcraft</t>
  </si>
  <si>
    <t>Kosas</t>
  </si>
  <si>
    <t>Honda Odyssey</t>
  </si>
  <si>
    <t>Which campaign had a lower performing CTR?</t>
  </si>
  <si>
    <t>Which campaign had a higher performing CTR?</t>
  </si>
  <si>
    <t>Honda Marketing Campaigns</t>
  </si>
  <si>
    <t>Which campaign had a lower performing CPC?</t>
  </si>
  <si>
    <t>Which campaign had a higher performing CPC?</t>
  </si>
  <si>
    <t>Which campaign had a lower performing CPA?</t>
  </si>
  <si>
    <t xml:space="preserve">Charlotte Tilbury </t>
  </si>
  <si>
    <t xml:space="preserve"> </t>
  </si>
  <si>
    <t>Which campaign had a higher performing conversion rate?</t>
  </si>
  <si>
    <t xml:space="preserve">Call of Duty </t>
  </si>
  <si>
    <t xml:space="preserve">Saie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</si>
</sst>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6">
    <font>
      <sz val="10.0"/>
      <color rgb="FF000000"/>
      <name val="Arial"/>
      <scheme val="minor"/>
    </font>
    <font>
      <b/>
      <color rgb="FFFFFFFF"/>
      <name val="Arial"/>
    </font>
    <font/>
    <font>
      <color theme="1"/>
      <name val="Arial"/>
    </font>
    <font>
      <color rgb="FFFFFFFF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  <fill>
      <patternFill patternType="solid">
        <fgColor rgb="FF38761D"/>
        <bgColor rgb="FF38761D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3" fillId="2" fontId="1" numFmtId="0" xfId="0" applyAlignment="1" applyBorder="1" applyFont="1">
      <alignment horizontal="center" shrinkToFit="0" vertical="bottom" wrapText="1"/>
    </xf>
    <xf borderId="2" fillId="2" fontId="2" numFmtId="0" xfId="0" applyBorder="1" applyFont="1"/>
    <xf borderId="2" fillId="2" fontId="1" numFmtId="0" xfId="0" applyAlignment="1" applyBorder="1" applyFont="1">
      <alignment horizontal="center" vertical="bottom"/>
    </xf>
    <xf borderId="4" fillId="3" fontId="3" numFmtId="0" xfId="0" applyAlignment="1" applyBorder="1" applyFill="1" applyFon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5" fillId="3" fontId="2" numFmtId="0" xfId="0" applyBorder="1" applyFont="1"/>
    <xf borderId="5" fillId="3" fontId="3" numFmtId="0" xfId="0" applyAlignment="1" applyBorder="1" applyFont="1">
      <alignment horizontal="center" vertical="center"/>
    </xf>
    <xf borderId="4" fillId="4" fontId="3" numFmtId="0" xfId="0" applyAlignment="1" applyBorder="1" applyFill="1" applyFont="1">
      <alignment horizontal="center" shrinkToFit="0" vertical="center" wrapText="1"/>
    </xf>
    <xf borderId="5" fillId="4" fontId="3" numFmtId="0" xfId="0" applyAlignment="1" applyBorder="1" applyFont="1">
      <alignment horizontal="center" shrinkToFit="0" vertical="center" wrapText="1"/>
    </xf>
    <xf borderId="6" fillId="4" fontId="3" numFmtId="0" xfId="0" applyAlignment="1" applyBorder="1" applyFont="1">
      <alignment horizontal="center" shrinkToFit="0" vertical="center" wrapText="1"/>
    </xf>
    <xf borderId="5" fillId="4" fontId="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bottom"/>
    </xf>
    <xf borderId="0" fillId="5" fontId="1" numFmtId="0" xfId="0" applyAlignment="1" applyFill="1" applyFont="1">
      <alignment horizontal="center" readingOrder="0" vertical="bottom"/>
    </xf>
    <xf borderId="6" fillId="6" fontId="4" numFmtId="0" xfId="0" applyAlignment="1" applyBorder="1" applyFill="1" applyFont="1">
      <alignment horizontal="center" readingOrder="0" vertical="bottom"/>
    </xf>
    <xf borderId="6" fillId="0" fontId="2" numFmtId="0" xfId="0" applyBorder="1" applyFont="1"/>
    <xf borderId="7" fillId="0" fontId="3" numFmtId="0" xfId="0" applyAlignment="1" applyBorder="1" applyFont="1">
      <alignment vertical="bottom"/>
    </xf>
    <xf borderId="5" fillId="7" fontId="4" numFmtId="0" xfId="0" applyAlignment="1" applyBorder="1" applyFill="1" applyFont="1">
      <alignment horizontal="center" vertical="bottom"/>
    </xf>
    <xf borderId="5" fillId="0" fontId="3" numFmtId="0" xfId="0" applyAlignment="1" applyBorder="1" applyFont="1">
      <alignment horizontal="center" readingOrder="0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3" xfId="0" applyAlignment="1" applyBorder="1" applyFont="1" applyNumberFormat="1">
      <alignment horizontal="center" readingOrder="0" vertical="bottom"/>
    </xf>
    <xf borderId="5" fillId="0" fontId="3" numFmtId="3" xfId="0" applyAlignment="1" applyBorder="1" applyFont="1" applyNumberFormat="1">
      <alignment horizontal="center" vertical="bottom"/>
    </xf>
    <xf borderId="5" fillId="8" fontId="3" numFmtId="10" xfId="0" applyAlignment="1" applyBorder="1" applyFill="1" applyFont="1" applyNumberForma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9" fontId="3" numFmtId="0" xfId="0" applyAlignment="1" applyBorder="1" applyFill="1" applyFont="1">
      <alignment horizontal="center" vertical="bottom"/>
    </xf>
    <xf borderId="5" fillId="0" fontId="2" numFmtId="0" xfId="0" applyBorder="1" applyFont="1"/>
    <xf borderId="6" fillId="8" fontId="5" numFmtId="0" xfId="0" applyAlignment="1" applyBorder="1" applyFont="1">
      <alignment horizontal="center" readingOrder="0"/>
    </xf>
    <xf borderId="5" fillId="8" fontId="3" numFmtId="165" xfId="0" applyAlignment="1" applyBorder="1" applyFont="1" applyNumberFormat="1">
      <alignment vertical="bottom"/>
    </xf>
    <xf borderId="6" fillId="9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30.88"/>
    <col customWidth="1" min="3" max="3" width="21.25"/>
    <col customWidth="1" min="5" max="5" width="47.63"/>
    <col customWidth="1" min="6" max="6" width="14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/>
      <c r="F1" s="2" t="s">
        <v>4</v>
      </c>
      <c r="G1" s="5" t="s">
        <v>5</v>
      </c>
      <c r="H1" s="5" t="s">
        <v>6</v>
      </c>
    </row>
    <row r="2">
      <c r="A2" s="6" t="s">
        <v>7</v>
      </c>
      <c r="B2" s="7" t="s">
        <v>8</v>
      </c>
      <c r="C2" s="7" t="s">
        <v>9</v>
      </c>
      <c r="D2" s="8" t="s">
        <v>10</v>
      </c>
      <c r="E2" s="9"/>
      <c r="F2" s="7" t="s">
        <v>11</v>
      </c>
      <c r="G2" s="10" t="s">
        <v>9</v>
      </c>
      <c r="H2" s="10" t="s">
        <v>9</v>
      </c>
    </row>
    <row r="3">
      <c r="A3" s="11" t="s">
        <v>12</v>
      </c>
      <c r="B3" s="12" t="s">
        <v>13</v>
      </c>
      <c r="C3" s="12" t="s">
        <v>9</v>
      </c>
      <c r="D3" s="13" t="s">
        <v>14</v>
      </c>
      <c r="E3" s="14"/>
      <c r="F3" s="12" t="s">
        <v>15</v>
      </c>
      <c r="G3" s="15" t="s">
        <v>9</v>
      </c>
      <c r="H3" s="15" t="s">
        <v>9</v>
      </c>
    </row>
    <row r="4">
      <c r="A4" s="6" t="s">
        <v>16</v>
      </c>
      <c r="B4" s="7" t="s">
        <v>17</v>
      </c>
      <c r="C4" s="7" t="s">
        <v>9</v>
      </c>
      <c r="D4" s="8" t="s">
        <v>18</v>
      </c>
      <c r="E4" s="9"/>
      <c r="F4" s="7" t="s">
        <v>15</v>
      </c>
      <c r="G4" s="10" t="s">
        <v>9</v>
      </c>
      <c r="H4" s="10" t="s">
        <v>9</v>
      </c>
    </row>
    <row r="5">
      <c r="A5" s="11" t="s">
        <v>19</v>
      </c>
      <c r="B5" s="12" t="s">
        <v>20</v>
      </c>
      <c r="C5" s="12" t="s">
        <v>21</v>
      </c>
      <c r="D5" s="13" t="s">
        <v>22</v>
      </c>
      <c r="E5" s="14"/>
      <c r="F5" s="12" t="s">
        <v>23</v>
      </c>
      <c r="G5" s="16" t="s">
        <v>24</v>
      </c>
      <c r="H5" s="16" t="s">
        <v>25</v>
      </c>
    </row>
    <row r="6">
      <c r="A6" s="6" t="s">
        <v>26</v>
      </c>
      <c r="B6" s="7" t="s">
        <v>27</v>
      </c>
      <c r="C6" s="7" t="s">
        <v>28</v>
      </c>
      <c r="D6" s="8" t="s">
        <v>29</v>
      </c>
      <c r="E6" s="9"/>
      <c r="F6" s="7" t="s">
        <v>11</v>
      </c>
      <c r="G6" s="10" t="s">
        <v>25</v>
      </c>
      <c r="H6" s="10" t="s">
        <v>24</v>
      </c>
    </row>
    <row r="7">
      <c r="A7" s="11" t="s">
        <v>30</v>
      </c>
      <c r="B7" s="12" t="s">
        <v>31</v>
      </c>
      <c r="C7" s="12" t="s">
        <v>9</v>
      </c>
      <c r="D7" s="13" t="s">
        <v>32</v>
      </c>
      <c r="E7" s="14"/>
      <c r="F7" s="12" t="s">
        <v>15</v>
      </c>
      <c r="G7" s="15" t="s">
        <v>25</v>
      </c>
      <c r="H7" s="15" t="s">
        <v>24</v>
      </c>
    </row>
    <row r="8">
      <c r="A8" s="6" t="s">
        <v>33</v>
      </c>
      <c r="B8" s="7" t="s">
        <v>34</v>
      </c>
      <c r="C8" s="7" t="s">
        <v>35</v>
      </c>
      <c r="D8" s="8" t="s">
        <v>36</v>
      </c>
      <c r="E8" s="9"/>
      <c r="F8" s="7" t="s">
        <v>23</v>
      </c>
      <c r="G8" s="10" t="s">
        <v>24</v>
      </c>
      <c r="H8" s="10" t="s">
        <v>25</v>
      </c>
    </row>
    <row r="9">
      <c r="A9" s="11" t="s">
        <v>37</v>
      </c>
      <c r="B9" s="12" t="s">
        <v>38</v>
      </c>
      <c r="C9" s="12" t="s">
        <v>39</v>
      </c>
      <c r="D9" s="13" t="s">
        <v>40</v>
      </c>
      <c r="E9" s="14"/>
      <c r="F9" s="12" t="s">
        <v>11</v>
      </c>
      <c r="G9" s="15" t="s">
        <v>25</v>
      </c>
      <c r="H9" s="15" t="s">
        <v>24</v>
      </c>
    </row>
    <row r="10">
      <c r="A10" s="6" t="s">
        <v>41</v>
      </c>
      <c r="B10" s="7" t="s">
        <v>42</v>
      </c>
      <c r="C10" s="7" t="s">
        <v>43</v>
      </c>
      <c r="D10" s="8" t="s">
        <v>44</v>
      </c>
      <c r="E10" s="9"/>
      <c r="F10" s="7" t="s">
        <v>11</v>
      </c>
      <c r="G10" s="10" t="s">
        <v>24</v>
      </c>
      <c r="H10" s="10" t="s">
        <v>25</v>
      </c>
    </row>
  </sheetData>
  <mergeCells count="10">
    <mergeCell ref="D8:E8"/>
    <mergeCell ref="D9:E9"/>
    <mergeCell ref="D10:E10"/>
    <mergeCell ref="D1:E1"/>
    <mergeCell ref="D2:E2"/>
    <mergeCell ref="D3:E3"/>
    <mergeCell ref="D4:E4"/>
    <mergeCell ref="D5:E5"/>
    <mergeCell ref="D6:E6"/>
    <mergeCell ref="D7:E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8" max="8" width="6.63"/>
    <col customWidth="1" min="9" max="9" width="14.13"/>
    <col customWidth="1" min="15" max="15" width="5.38"/>
    <col customWidth="1" min="16" max="16" width="13.88"/>
    <col customWidth="1" min="22" max="22" width="9.0"/>
  </cols>
  <sheetData>
    <row r="1">
      <c r="A1" s="17"/>
      <c r="B1" s="18" t="s">
        <v>45</v>
      </c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>
      <c r="A3" s="17"/>
      <c r="B3" s="19" t="s">
        <v>46</v>
      </c>
      <c r="C3" s="20"/>
      <c r="D3" s="20"/>
      <c r="E3" s="20"/>
      <c r="F3" s="20"/>
      <c r="G3" s="20"/>
      <c r="H3" s="17"/>
      <c r="I3" s="19" t="s">
        <v>47</v>
      </c>
      <c r="J3" s="20"/>
      <c r="K3" s="20"/>
      <c r="L3" s="20"/>
      <c r="M3" s="20"/>
      <c r="N3" s="20"/>
      <c r="O3" s="17"/>
      <c r="P3" s="19" t="s">
        <v>48</v>
      </c>
      <c r="Q3" s="20"/>
      <c r="R3" s="20"/>
      <c r="S3" s="20"/>
      <c r="T3" s="20"/>
      <c r="U3" s="20"/>
      <c r="V3" s="17"/>
    </row>
    <row r="4">
      <c r="A4" s="21"/>
      <c r="B4" s="22" t="s">
        <v>49</v>
      </c>
      <c r="C4" s="22" t="s">
        <v>7</v>
      </c>
      <c r="D4" s="22" t="s">
        <v>12</v>
      </c>
      <c r="E4" s="22" t="s">
        <v>50</v>
      </c>
      <c r="F4" s="22" t="s">
        <v>30</v>
      </c>
      <c r="G4" s="22" t="s">
        <v>19</v>
      </c>
      <c r="H4" s="21"/>
      <c r="I4" s="22" t="s">
        <v>49</v>
      </c>
      <c r="J4" s="22" t="s">
        <v>7</v>
      </c>
      <c r="K4" s="22" t="s">
        <v>12</v>
      </c>
      <c r="L4" s="22" t="s">
        <v>50</v>
      </c>
      <c r="M4" s="22" t="s">
        <v>30</v>
      </c>
      <c r="N4" s="22" t="s">
        <v>19</v>
      </c>
      <c r="O4" s="21"/>
      <c r="P4" s="22" t="s">
        <v>51</v>
      </c>
      <c r="Q4" s="22" t="s">
        <v>7</v>
      </c>
      <c r="R4" s="22" t="s">
        <v>12</v>
      </c>
      <c r="S4" s="22" t="s">
        <v>50</v>
      </c>
      <c r="T4" s="22" t="s">
        <v>30</v>
      </c>
      <c r="U4" s="22" t="s">
        <v>19</v>
      </c>
      <c r="V4" s="17"/>
    </row>
    <row r="5">
      <c r="A5" s="21"/>
      <c r="B5" s="23" t="s">
        <v>52</v>
      </c>
      <c r="C5" s="24">
        <v>34128.0</v>
      </c>
      <c r="D5" s="25">
        <v>241765.0</v>
      </c>
      <c r="E5" s="26">
        <v>6353930.0</v>
      </c>
      <c r="F5" s="25">
        <v>11147.0</v>
      </c>
      <c r="G5" s="27">
        <f t="shared" ref="G5:G8" si="1">D5/E5</f>
        <v>0.03804967949</v>
      </c>
      <c r="H5" s="21"/>
      <c r="I5" s="23" t="s">
        <v>53</v>
      </c>
      <c r="J5" s="24">
        <v>8121.0</v>
      </c>
      <c r="K5" s="25">
        <v>20728.0</v>
      </c>
      <c r="L5" s="26">
        <v>541813.0</v>
      </c>
      <c r="M5" s="25">
        <v>8918.0</v>
      </c>
      <c r="N5" s="27">
        <f t="shared" ref="N5:N8" si="2">K5/L5</f>
        <v>0.03825674172</v>
      </c>
      <c r="O5" s="21"/>
      <c r="P5" s="23" t="s">
        <v>54</v>
      </c>
      <c r="Q5" s="24">
        <v>201.0</v>
      </c>
      <c r="R5" s="25">
        <v>998.0</v>
      </c>
      <c r="S5" s="25">
        <v>14518.0</v>
      </c>
      <c r="T5" s="25">
        <v>15.0</v>
      </c>
      <c r="U5" s="27">
        <f t="shared" ref="U5:U8" si="3">R5/S5</f>
        <v>0.068742251</v>
      </c>
      <c r="V5" s="17"/>
    </row>
    <row r="6">
      <c r="A6" s="21"/>
      <c r="B6" s="23" t="s">
        <v>55</v>
      </c>
      <c r="C6" s="24">
        <v>23191.0</v>
      </c>
      <c r="D6" s="25">
        <v>129064.0</v>
      </c>
      <c r="E6" s="26">
        <v>4455060.0</v>
      </c>
      <c r="F6" s="25">
        <v>7755.0</v>
      </c>
      <c r="G6" s="27">
        <f t="shared" si="1"/>
        <v>0.02897020467</v>
      </c>
      <c r="H6" s="21"/>
      <c r="I6" s="23" t="s">
        <v>56</v>
      </c>
      <c r="J6" s="24">
        <v>12349.0</v>
      </c>
      <c r="K6" s="25">
        <v>41836.0</v>
      </c>
      <c r="L6" s="26">
        <v>812989.0</v>
      </c>
      <c r="M6" s="25">
        <v>9546.0</v>
      </c>
      <c r="N6" s="27">
        <f t="shared" si="2"/>
        <v>0.05145949084</v>
      </c>
      <c r="O6" s="21"/>
      <c r="P6" s="23" t="s">
        <v>57</v>
      </c>
      <c r="Q6" s="24">
        <v>135.0</v>
      </c>
      <c r="R6" s="25">
        <v>387.0</v>
      </c>
      <c r="S6" s="25">
        <v>9281.0</v>
      </c>
      <c r="T6" s="25">
        <v>9.0</v>
      </c>
      <c r="U6" s="27">
        <f t="shared" si="3"/>
        <v>0.04169809288</v>
      </c>
      <c r="V6" s="17"/>
    </row>
    <row r="7">
      <c r="A7" s="21"/>
      <c r="B7" s="23" t="s">
        <v>58</v>
      </c>
      <c r="C7" s="24">
        <v>29182.0</v>
      </c>
      <c r="D7" s="25">
        <v>135930.0</v>
      </c>
      <c r="E7" s="26">
        <v>8024262.0</v>
      </c>
      <c r="F7" s="25">
        <v>13321.0</v>
      </c>
      <c r="G7" s="27">
        <f t="shared" si="1"/>
        <v>0.01693987559</v>
      </c>
      <c r="H7" s="21"/>
      <c r="I7" s="23" t="s">
        <v>59</v>
      </c>
      <c r="J7" s="24">
        <v>9121.0</v>
      </c>
      <c r="K7" s="25">
        <v>25717.0</v>
      </c>
      <c r="L7" s="26">
        <v>605533.0</v>
      </c>
      <c r="M7" s="25">
        <v>6012.0</v>
      </c>
      <c r="N7" s="27">
        <f t="shared" si="2"/>
        <v>0.04247002228</v>
      </c>
      <c r="O7" s="21"/>
      <c r="P7" s="23" t="s">
        <v>60</v>
      </c>
      <c r="Q7" s="24">
        <v>249.0</v>
      </c>
      <c r="R7" s="25">
        <v>391.0</v>
      </c>
      <c r="S7" s="25">
        <v>11241.0</v>
      </c>
      <c r="T7" s="25">
        <v>5.0</v>
      </c>
      <c r="U7" s="27">
        <f t="shared" si="3"/>
        <v>0.03478338226</v>
      </c>
      <c r="V7" s="17"/>
    </row>
    <row r="8">
      <c r="A8" s="21"/>
      <c r="B8" s="23" t="s">
        <v>61</v>
      </c>
      <c r="C8" s="24">
        <v>15019.0</v>
      </c>
      <c r="D8" s="25">
        <v>129144.0</v>
      </c>
      <c r="E8" s="26">
        <v>2661730.0</v>
      </c>
      <c r="F8" s="25">
        <v>9762.0</v>
      </c>
      <c r="G8" s="27">
        <f t="shared" si="1"/>
        <v>0.04851882047</v>
      </c>
      <c r="H8" s="21"/>
      <c r="I8" s="23" t="s">
        <v>62</v>
      </c>
      <c r="J8" s="24">
        <v>11212.0</v>
      </c>
      <c r="K8" s="25">
        <v>36068.0</v>
      </c>
      <c r="L8" s="26">
        <v>728884.0</v>
      </c>
      <c r="M8" s="25">
        <v>8285.0</v>
      </c>
      <c r="N8" s="27">
        <f t="shared" si="2"/>
        <v>0.04948386849</v>
      </c>
      <c r="O8" s="21"/>
      <c r="P8" s="23" t="s">
        <v>63</v>
      </c>
      <c r="Q8" s="24">
        <v>121.0</v>
      </c>
      <c r="R8" s="25">
        <v>352.0</v>
      </c>
      <c r="S8" s="25">
        <v>8123.0</v>
      </c>
      <c r="T8" s="25">
        <v>2.0</v>
      </c>
      <c r="U8" s="27">
        <f t="shared" si="3"/>
        <v>0.04333374369</v>
      </c>
      <c r="V8" s="17"/>
    </row>
    <row r="9">
      <c r="A9" s="17"/>
      <c r="B9" s="28"/>
      <c r="C9" s="28"/>
      <c r="D9" s="28"/>
      <c r="E9" s="28"/>
      <c r="F9" s="28"/>
      <c r="G9" s="28"/>
      <c r="H9" s="17"/>
      <c r="I9" s="28"/>
      <c r="J9" s="29"/>
      <c r="K9" s="28"/>
      <c r="L9" s="28"/>
      <c r="M9" s="28"/>
      <c r="N9" s="28"/>
      <c r="O9" s="17"/>
      <c r="P9" s="28"/>
      <c r="Q9" s="28"/>
      <c r="R9" s="28"/>
      <c r="S9" s="28"/>
      <c r="T9" s="28"/>
      <c r="U9" s="28"/>
      <c r="V9" s="17"/>
    </row>
    <row r="10">
      <c r="A10" s="21"/>
      <c r="B10" s="30" t="s">
        <v>64</v>
      </c>
      <c r="C10" s="20"/>
      <c r="D10" s="20"/>
      <c r="E10" s="31"/>
      <c r="F10" s="32" t="s">
        <v>58</v>
      </c>
      <c r="G10" s="31"/>
      <c r="H10" s="21"/>
      <c r="I10" s="30" t="s">
        <v>65</v>
      </c>
      <c r="J10" s="20"/>
      <c r="K10" s="20"/>
      <c r="L10" s="31"/>
      <c r="M10" s="32" t="s">
        <v>56</v>
      </c>
      <c r="N10" s="31"/>
      <c r="O10" s="21"/>
      <c r="P10" s="30" t="s">
        <v>65</v>
      </c>
      <c r="Q10" s="20"/>
      <c r="R10" s="20"/>
      <c r="S10" s="31"/>
      <c r="T10" s="32" t="s">
        <v>54</v>
      </c>
      <c r="U10" s="31"/>
      <c r="V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>
      <c r="A12" s="17"/>
      <c r="B12" s="19" t="s">
        <v>46</v>
      </c>
      <c r="C12" s="20"/>
      <c r="D12" s="20"/>
      <c r="E12" s="20"/>
      <c r="F12" s="20"/>
      <c r="G12" s="20"/>
      <c r="H12" s="17"/>
      <c r="I12" s="19" t="s">
        <v>47</v>
      </c>
      <c r="J12" s="20"/>
      <c r="K12" s="20"/>
      <c r="L12" s="20"/>
      <c r="M12" s="20"/>
      <c r="N12" s="20"/>
      <c r="O12" s="17"/>
      <c r="P12" s="19" t="s">
        <v>66</v>
      </c>
      <c r="Q12" s="20"/>
      <c r="R12" s="20"/>
      <c r="S12" s="20"/>
      <c r="T12" s="20"/>
      <c r="U12" s="20"/>
      <c r="V12" s="17"/>
    </row>
    <row r="13">
      <c r="A13" s="21"/>
      <c r="B13" s="22" t="s">
        <v>49</v>
      </c>
      <c r="C13" s="22" t="s">
        <v>7</v>
      </c>
      <c r="D13" s="22" t="s">
        <v>12</v>
      </c>
      <c r="E13" s="22" t="s">
        <v>50</v>
      </c>
      <c r="F13" s="22" t="s">
        <v>30</v>
      </c>
      <c r="G13" s="22" t="s">
        <v>26</v>
      </c>
      <c r="H13" s="21"/>
      <c r="I13" s="22" t="s">
        <v>49</v>
      </c>
      <c r="J13" s="22" t="s">
        <v>7</v>
      </c>
      <c r="K13" s="22" t="s">
        <v>12</v>
      </c>
      <c r="L13" s="22" t="s">
        <v>50</v>
      </c>
      <c r="M13" s="22" t="s">
        <v>30</v>
      </c>
      <c r="N13" s="22" t="s">
        <v>26</v>
      </c>
      <c r="O13" s="21"/>
      <c r="P13" s="22" t="s">
        <v>51</v>
      </c>
      <c r="Q13" s="22" t="s">
        <v>7</v>
      </c>
      <c r="R13" s="22" t="s">
        <v>12</v>
      </c>
      <c r="S13" s="22" t="s">
        <v>50</v>
      </c>
      <c r="T13" s="22" t="s">
        <v>30</v>
      </c>
      <c r="U13" s="22" t="s">
        <v>26</v>
      </c>
      <c r="V13" s="17"/>
    </row>
    <row r="14">
      <c r="A14" s="21"/>
      <c r="B14" s="23" t="s">
        <v>52</v>
      </c>
      <c r="C14" s="24">
        <v>34128.0</v>
      </c>
      <c r="D14" s="25">
        <v>241765.0</v>
      </c>
      <c r="E14" s="26">
        <v>6353930.0</v>
      </c>
      <c r="F14" s="25">
        <v>11147.0</v>
      </c>
      <c r="G14" s="33">
        <f t="shared" ref="G14:G17" si="4">C14/D14</f>
        <v>0.1411618721</v>
      </c>
      <c r="H14" s="21"/>
      <c r="I14" s="23" t="s">
        <v>53</v>
      </c>
      <c r="J14" s="24">
        <v>8121.0</v>
      </c>
      <c r="K14" s="25">
        <v>20728.0</v>
      </c>
      <c r="L14" s="26">
        <v>541813.0</v>
      </c>
      <c r="M14" s="25">
        <v>8918.0</v>
      </c>
      <c r="N14" s="33">
        <f t="shared" ref="N14:N17" si="5">J14/K14</f>
        <v>0.3917888846</v>
      </c>
      <c r="O14" s="21"/>
      <c r="P14" s="23" t="s">
        <v>54</v>
      </c>
      <c r="Q14" s="24">
        <v>201.0</v>
      </c>
      <c r="R14" s="25">
        <v>998.0</v>
      </c>
      <c r="S14" s="25">
        <v>14518.0</v>
      </c>
      <c r="T14" s="25">
        <v>15.0</v>
      </c>
      <c r="U14" s="33">
        <f t="shared" ref="U14:U17" si="6">Q14/R14</f>
        <v>0.2014028056</v>
      </c>
      <c r="V14" s="17"/>
    </row>
    <row r="15">
      <c r="A15" s="21"/>
      <c r="B15" s="23" t="s">
        <v>55</v>
      </c>
      <c r="C15" s="24">
        <v>23191.0</v>
      </c>
      <c r="D15" s="25">
        <v>129064.0</v>
      </c>
      <c r="E15" s="26">
        <v>4455060.0</v>
      </c>
      <c r="F15" s="25">
        <v>7755.0</v>
      </c>
      <c r="G15" s="33">
        <f t="shared" si="4"/>
        <v>0.1796860472</v>
      </c>
      <c r="H15" s="21"/>
      <c r="I15" s="23" t="s">
        <v>56</v>
      </c>
      <c r="J15" s="24">
        <v>12349.0</v>
      </c>
      <c r="K15" s="25">
        <v>41836.0</v>
      </c>
      <c r="L15" s="26">
        <v>812989.0</v>
      </c>
      <c r="M15" s="25">
        <v>9546.0</v>
      </c>
      <c r="N15" s="33">
        <f t="shared" si="5"/>
        <v>0.2951764031</v>
      </c>
      <c r="O15" s="21"/>
      <c r="P15" s="23" t="s">
        <v>57</v>
      </c>
      <c r="Q15" s="24">
        <v>135.0</v>
      </c>
      <c r="R15" s="25">
        <v>387.0</v>
      </c>
      <c r="S15" s="25">
        <v>9281.0</v>
      </c>
      <c r="T15" s="25">
        <v>9.0</v>
      </c>
      <c r="U15" s="33">
        <f t="shared" si="6"/>
        <v>0.3488372093</v>
      </c>
      <c r="V15" s="17"/>
    </row>
    <row r="16">
      <c r="A16" s="21"/>
      <c r="B16" s="23" t="s">
        <v>58</v>
      </c>
      <c r="C16" s="24">
        <v>29182.0</v>
      </c>
      <c r="D16" s="25">
        <v>135930.0</v>
      </c>
      <c r="E16" s="26">
        <v>8024262.0</v>
      </c>
      <c r="F16" s="25">
        <v>13321.0</v>
      </c>
      <c r="G16" s="33">
        <f t="shared" si="4"/>
        <v>0.2146840285</v>
      </c>
      <c r="H16" s="21"/>
      <c r="I16" s="23" t="s">
        <v>59</v>
      </c>
      <c r="J16" s="24">
        <v>9121.0</v>
      </c>
      <c r="K16" s="25">
        <v>25717.0</v>
      </c>
      <c r="L16" s="26">
        <v>605533.0</v>
      </c>
      <c r="M16" s="25">
        <v>6012.0</v>
      </c>
      <c r="N16" s="33">
        <f t="shared" si="5"/>
        <v>0.3546681184</v>
      </c>
      <c r="O16" s="21"/>
      <c r="P16" s="23" t="s">
        <v>60</v>
      </c>
      <c r="Q16" s="24">
        <v>249.0</v>
      </c>
      <c r="R16" s="25">
        <v>391.0</v>
      </c>
      <c r="S16" s="25">
        <v>11241.0</v>
      </c>
      <c r="T16" s="25">
        <v>5.0</v>
      </c>
      <c r="U16" s="33">
        <f t="shared" si="6"/>
        <v>0.6368286445</v>
      </c>
      <c r="V16" s="17"/>
    </row>
    <row r="17">
      <c r="A17" s="21"/>
      <c r="B17" s="23" t="s">
        <v>61</v>
      </c>
      <c r="C17" s="24">
        <v>15019.0</v>
      </c>
      <c r="D17" s="25">
        <v>129144.0</v>
      </c>
      <c r="E17" s="26">
        <v>2661730.0</v>
      </c>
      <c r="F17" s="25">
        <v>9762.0</v>
      </c>
      <c r="G17" s="33">
        <f t="shared" si="4"/>
        <v>0.1162965372</v>
      </c>
      <c r="H17" s="21"/>
      <c r="I17" s="23" t="s">
        <v>62</v>
      </c>
      <c r="J17" s="24">
        <v>11212.0</v>
      </c>
      <c r="K17" s="25">
        <v>36068.0</v>
      </c>
      <c r="L17" s="26">
        <v>728884.0</v>
      </c>
      <c r="M17" s="25">
        <v>8285.0</v>
      </c>
      <c r="N17" s="33">
        <f t="shared" si="5"/>
        <v>0.3108572696</v>
      </c>
      <c r="O17" s="21"/>
      <c r="P17" s="23" t="s">
        <v>63</v>
      </c>
      <c r="Q17" s="24">
        <v>121.0</v>
      </c>
      <c r="R17" s="25">
        <v>352.0</v>
      </c>
      <c r="S17" s="25">
        <v>8123.0</v>
      </c>
      <c r="T17" s="25">
        <v>2.0</v>
      </c>
      <c r="U17" s="33">
        <f t="shared" si="6"/>
        <v>0.34375</v>
      </c>
      <c r="V17" s="17"/>
    </row>
    <row r="18">
      <c r="A18" s="17"/>
      <c r="B18" s="28"/>
      <c r="C18" s="28"/>
      <c r="D18" s="28"/>
      <c r="E18" s="28"/>
      <c r="F18" s="28"/>
      <c r="G18" s="28"/>
      <c r="H18" s="17"/>
      <c r="I18" s="28"/>
      <c r="J18" s="28"/>
      <c r="K18" s="28"/>
      <c r="L18" s="28"/>
      <c r="M18" s="28"/>
      <c r="N18" s="28"/>
      <c r="O18" s="17"/>
      <c r="P18" s="28"/>
      <c r="Q18" s="28"/>
      <c r="R18" s="28"/>
      <c r="S18" s="28"/>
      <c r="T18" s="28"/>
      <c r="U18" s="28"/>
      <c r="V18" s="17"/>
    </row>
    <row r="19">
      <c r="A19" s="21"/>
      <c r="B19" s="30" t="s">
        <v>67</v>
      </c>
      <c r="C19" s="20"/>
      <c r="D19" s="20"/>
      <c r="E19" s="31"/>
      <c r="F19" s="32" t="s">
        <v>58</v>
      </c>
      <c r="G19" s="31"/>
      <c r="H19" s="21"/>
      <c r="I19" s="30" t="s">
        <v>68</v>
      </c>
      <c r="J19" s="20"/>
      <c r="K19" s="20"/>
      <c r="L19" s="31"/>
      <c r="M19" s="32" t="s">
        <v>56</v>
      </c>
      <c r="N19" s="31"/>
      <c r="O19" s="21"/>
      <c r="P19" s="34" t="s">
        <v>67</v>
      </c>
      <c r="Q19" s="20"/>
      <c r="R19" s="20"/>
      <c r="S19" s="31"/>
      <c r="T19" s="32" t="s">
        <v>60</v>
      </c>
      <c r="U19" s="31"/>
      <c r="V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>
      <c r="A21" s="17"/>
      <c r="B21" s="19" t="s">
        <v>46</v>
      </c>
      <c r="C21" s="20"/>
      <c r="D21" s="20"/>
      <c r="E21" s="20"/>
      <c r="F21" s="20"/>
      <c r="G21" s="20"/>
      <c r="H21" s="17"/>
      <c r="I21" s="19" t="s">
        <v>47</v>
      </c>
      <c r="J21" s="20"/>
      <c r="K21" s="20"/>
      <c r="L21" s="20"/>
      <c r="M21" s="20"/>
      <c r="N21" s="20"/>
      <c r="O21" s="17"/>
      <c r="P21" s="19" t="s">
        <v>66</v>
      </c>
      <c r="Q21" s="20"/>
      <c r="R21" s="20"/>
      <c r="S21" s="20"/>
      <c r="T21" s="20"/>
      <c r="U21" s="20"/>
      <c r="V21" s="17"/>
    </row>
    <row r="22">
      <c r="A22" s="21"/>
      <c r="B22" s="22" t="s">
        <v>49</v>
      </c>
      <c r="C22" s="22" t="s">
        <v>7</v>
      </c>
      <c r="D22" s="22" t="s">
        <v>12</v>
      </c>
      <c r="E22" s="22" t="s">
        <v>50</v>
      </c>
      <c r="F22" s="22" t="s">
        <v>30</v>
      </c>
      <c r="G22" s="22" t="s">
        <v>37</v>
      </c>
      <c r="H22" s="21"/>
      <c r="I22" s="22" t="s">
        <v>49</v>
      </c>
      <c r="J22" s="22" t="s">
        <v>7</v>
      </c>
      <c r="K22" s="22" t="s">
        <v>12</v>
      </c>
      <c r="L22" s="22" t="s">
        <v>50</v>
      </c>
      <c r="M22" s="22" t="s">
        <v>30</v>
      </c>
      <c r="N22" s="22" t="s">
        <v>37</v>
      </c>
      <c r="O22" s="21"/>
      <c r="P22" s="22" t="s">
        <v>51</v>
      </c>
      <c r="Q22" s="22" t="s">
        <v>7</v>
      </c>
      <c r="R22" s="22" t="s">
        <v>12</v>
      </c>
      <c r="S22" s="22" t="s">
        <v>50</v>
      </c>
      <c r="T22" s="22" t="s">
        <v>30</v>
      </c>
      <c r="U22" s="22" t="s">
        <v>37</v>
      </c>
      <c r="V22" s="17"/>
    </row>
    <row r="23">
      <c r="A23" s="21"/>
      <c r="B23" s="23" t="s">
        <v>52</v>
      </c>
      <c r="C23" s="24">
        <v>34128.0</v>
      </c>
      <c r="D23" s="25">
        <v>241765.0</v>
      </c>
      <c r="E23" s="26">
        <v>6353930.0</v>
      </c>
      <c r="F23" s="25">
        <v>11147.0</v>
      </c>
      <c r="G23" s="33">
        <f t="shared" ref="G23:G26" si="7">C23/F23</f>
        <v>3.061630932</v>
      </c>
      <c r="H23" s="21"/>
      <c r="I23" s="23" t="s">
        <v>53</v>
      </c>
      <c r="J23" s="24">
        <v>8121.0</v>
      </c>
      <c r="K23" s="25">
        <v>20728.0</v>
      </c>
      <c r="L23" s="26">
        <v>541813.0</v>
      </c>
      <c r="M23" s="25">
        <v>8918.0</v>
      </c>
      <c r="N23" s="33">
        <f t="shared" ref="N23:N26" si="8">J23/M23</f>
        <v>0.9106301861</v>
      </c>
      <c r="O23" s="21"/>
      <c r="P23" s="23" t="s">
        <v>54</v>
      </c>
      <c r="Q23" s="24">
        <v>201.0</v>
      </c>
      <c r="R23" s="25">
        <v>998.0</v>
      </c>
      <c r="S23" s="25">
        <v>14518.0</v>
      </c>
      <c r="T23" s="25">
        <v>15.0</v>
      </c>
      <c r="U23" s="33">
        <f t="shared" ref="U23:U26" si="9">Q23/T23</f>
        <v>13.4</v>
      </c>
      <c r="V23" s="17"/>
    </row>
    <row r="24">
      <c r="A24" s="21"/>
      <c r="B24" s="23" t="s">
        <v>55</v>
      </c>
      <c r="C24" s="24">
        <v>23191.0</v>
      </c>
      <c r="D24" s="25">
        <v>129064.0</v>
      </c>
      <c r="E24" s="26">
        <v>4455060.0</v>
      </c>
      <c r="F24" s="25">
        <v>7755.0</v>
      </c>
      <c r="G24" s="33">
        <f t="shared" si="7"/>
        <v>2.990457769</v>
      </c>
      <c r="H24" s="21"/>
      <c r="I24" s="23" t="s">
        <v>56</v>
      </c>
      <c r="J24" s="24">
        <v>12349.0</v>
      </c>
      <c r="K24" s="25">
        <v>41836.0</v>
      </c>
      <c r="L24" s="26">
        <v>812989.0</v>
      </c>
      <c r="M24" s="25">
        <v>9546.0</v>
      </c>
      <c r="N24" s="33">
        <f t="shared" si="8"/>
        <v>1.29363084</v>
      </c>
      <c r="O24" s="21"/>
      <c r="P24" s="23" t="s">
        <v>57</v>
      </c>
      <c r="Q24" s="24">
        <v>135.0</v>
      </c>
      <c r="R24" s="25">
        <v>387.0</v>
      </c>
      <c r="S24" s="25">
        <v>9281.0</v>
      </c>
      <c r="T24" s="25">
        <v>9.0</v>
      </c>
      <c r="U24" s="33">
        <f t="shared" si="9"/>
        <v>15</v>
      </c>
      <c r="V24" s="17"/>
    </row>
    <row r="25">
      <c r="A25" s="21"/>
      <c r="B25" s="23" t="s">
        <v>58</v>
      </c>
      <c r="C25" s="24">
        <v>29182.0</v>
      </c>
      <c r="D25" s="25">
        <v>135930.0</v>
      </c>
      <c r="E25" s="26">
        <v>8024262.0</v>
      </c>
      <c r="F25" s="25">
        <v>13321.0</v>
      </c>
      <c r="G25" s="33">
        <f t="shared" si="7"/>
        <v>2.190676376</v>
      </c>
      <c r="H25" s="21"/>
      <c r="I25" s="23" t="s">
        <v>59</v>
      </c>
      <c r="J25" s="24">
        <v>9121.0</v>
      </c>
      <c r="K25" s="25">
        <v>25717.0</v>
      </c>
      <c r="L25" s="26">
        <v>605533.0</v>
      </c>
      <c r="M25" s="25">
        <v>6012.0</v>
      </c>
      <c r="N25" s="33">
        <f t="shared" si="8"/>
        <v>1.517132402</v>
      </c>
      <c r="O25" s="21"/>
      <c r="P25" s="23" t="s">
        <v>60</v>
      </c>
      <c r="Q25" s="24">
        <v>249.0</v>
      </c>
      <c r="R25" s="25">
        <v>391.0</v>
      </c>
      <c r="S25" s="25">
        <v>11241.0</v>
      </c>
      <c r="T25" s="25">
        <v>5.0</v>
      </c>
      <c r="U25" s="33">
        <f t="shared" si="9"/>
        <v>49.8</v>
      </c>
      <c r="V25" s="17"/>
    </row>
    <row r="26">
      <c r="A26" s="21"/>
      <c r="B26" s="23" t="s">
        <v>61</v>
      </c>
      <c r="C26" s="24">
        <v>15019.0</v>
      </c>
      <c r="D26" s="25">
        <v>129144.0</v>
      </c>
      <c r="E26" s="26">
        <v>2661730.0</v>
      </c>
      <c r="F26" s="25">
        <v>9762.0</v>
      </c>
      <c r="G26" s="33">
        <f t="shared" si="7"/>
        <v>1.538516697</v>
      </c>
      <c r="H26" s="21"/>
      <c r="I26" s="23" t="s">
        <v>62</v>
      </c>
      <c r="J26" s="24">
        <v>11212.0</v>
      </c>
      <c r="K26" s="25">
        <v>36068.0</v>
      </c>
      <c r="L26" s="26">
        <v>728884.0</v>
      </c>
      <c r="M26" s="25">
        <v>8285.0</v>
      </c>
      <c r="N26" s="33">
        <f t="shared" si="8"/>
        <v>1.353289077</v>
      </c>
      <c r="O26" s="21"/>
      <c r="P26" s="23" t="s">
        <v>63</v>
      </c>
      <c r="Q26" s="24">
        <v>121.0</v>
      </c>
      <c r="R26" s="25">
        <v>352.0</v>
      </c>
      <c r="S26" s="25">
        <v>8123.0</v>
      </c>
      <c r="T26" s="25">
        <v>2.0</v>
      </c>
      <c r="U26" s="33">
        <f t="shared" si="9"/>
        <v>60.5</v>
      </c>
      <c r="V26" s="17"/>
    </row>
    <row r="27">
      <c r="A27" s="17"/>
      <c r="B27" s="28"/>
      <c r="C27" s="28"/>
      <c r="D27" s="28"/>
      <c r="E27" s="28"/>
      <c r="F27" s="28"/>
      <c r="G27" s="28"/>
      <c r="H27" s="17"/>
      <c r="I27" s="28"/>
      <c r="J27" s="28"/>
      <c r="K27" s="28"/>
      <c r="L27" s="28"/>
      <c r="M27" s="28"/>
      <c r="N27" s="28"/>
      <c r="O27" s="17"/>
      <c r="P27" s="28"/>
      <c r="Q27" s="28"/>
      <c r="R27" s="28"/>
      <c r="S27" s="28"/>
      <c r="T27" s="28"/>
      <c r="U27" s="28"/>
      <c r="V27" s="17"/>
    </row>
    <row r="28">
      <c r="A28" s="21"/>
      <c r="B28" s="30" t="s">
        <v>69</v>
      </c>
      <c r="C28" s="20"/>
      <c r="D28" s="20"/>
      <c r="E28" s="31"/>
      <c r="F28" s="32" t="s">
        <v>52</v>
      </c>
      <c r="G28" s="31"/>
      <c r="H28" s="21"/>
      <c r="I28" s="34" t="s">
        <v>69</v>
      </c>
      <c r="J28" s="20"/>
      <c r="K28" s="20"/>
      <c r="L28" s="31"/>
      <c r="M28" s="32" t="s">
        <v>70</v>
      </c>
      <c r="N28" s="31"/>
      <c r="O28" s="21"/>
      <c r="P28" s="30" t="s">
        <v>69</v>
      </c>
      <c r="Q28" s="20"/>
      <c r="R28" s="20"/>
      <c r="S28" s="31"/>
      <c r="T28" s="32" t="s">
        <v>63</v>
      </c>
      <c r="U28" s="31"/>
      <c r="V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>
      <c r="A30" s="17"/>
      <c r="B30" s="19" t="s">
        <v>46</v>
      </c>
      <c r="C30" s="20"/>
      <c r="D30" s="20"/>
      <c r="E30" s="20"/>
      <c r="F30" s="20"/>
      <c r="G30" s="20"/>
      <c r="H30" s="17"/>
      <c r="I30" s="19" t="s">
        <v>47</v>
      </c>
      <c r="J30" s="20"/>
      <c r="K30" s="20"/>
      <c r="L30" s="20"/>
      <c r="M30" s="20"/>
      <c r="N30" s="20"/>
      <c r="O30" s="17"/>
      <c r="P30" s="19" t="s">
        <v>66</v>
      </c>
      <c r="Q30" s="20"/>
      <c r="R30" s="20"/>
      <c r="S30" s="20"/>
      <c r="T30" s="20"/>
      <c r="U30" s="20"/>
      <c r="V30" s="17"/>
    </row>
    <row r="31">
      <c r="A31" s="21"/>
      <c r="B31" s="22" t="s">
        <v>49</v>
      </c>
      <c r="C31" s="22" t="s">
        <v>7</v>
      </c>
      <c r="D31" s="22" t="s">
        <v>12</v>
      </c>
      <c r="E31" s="22" t="s">
        <v>50</v>
      </c>
      <c r="F31" s="22" t="s">
        <v>30</v>
      </c>
      <c r="G31" s="22" t="s">
        <v>33</v>
      </c>
      <c r="H31" s="21"/>
      <c r="I31" s="22" t="s">
        <v>49</v>
      </c>
      <c r="J31" s="22" t="s">
        <v>7</v>
      </c>
      <c r="K31" s="22" t="s">
        <v>12</v>
      </c>
      <c r="L31" s="22" t="s">
        <v>50</v>
      </c>
      <c r="M31" s="22" t="s">
        <v>30</v>
      </c>
      <c r="N31" s="22" t="s">
        <v>33</v>
      </c>
      <c r="O31" s="21"/>
      <c r="P31" s="22" t="s">
        <v>71</v>
      </c>
      <c r="Q31" s="22" t="s">
        <v>7</v>
      </c>
      <c r="R31" s="22" t="s">
        <v>12</v>
      </c>
      <c r="S31" s="22" t="s">
        <v>50</v>
      </c>
      <c r="T31" s="22" t="s">
        <v>30</v>
      </c>
      <c r="U31" s="22" t="s">
        <v>33</v>
      </c>
      <c r="V31" s="17"/>
    </row>
    <row r="32">
      <c r="A32" s="21"/>
      <c r="B32" s="23" t="s">
        <v>52</v>
      </c>
      <c r="C32" s="24">
        <v>34128.0</v>
      </c>
      <c r="D32" s="25">
        <v>241765.0</v>
      </c>
      <c r="E32" s="26">
        <v>6353930.0</v>
      </c>
      <c r="F32" s="25">
        <v>11147.0</v>
      </c>
      <c r="G32" s="27">
        <f t="shared" ref="G32:G35" si="10">F32/D32</f>
        <v>0.04610675656</v>
      </c>
      <c r="H32" s="21"/>
      <c r="I32" s="23" t="s">
        <v>53</v>
      </c>
      <c r="J32" s="24">
        <v>8121.0</v>
      </c>
      <c r="K32" s="25">
        <v>20728.0</v>
      </c>
      <c r="L32" s="26">
        <v>541813.0</v>
      </c>
      <c r="M32" s="25">
        <v>8918.0</v>
      </c>
      <c r="N32" s="27">
        <f t="shared" ref="N32:N35" si="11">M32/K32</f>
        <v>0.4302392898</v>
      </c>
      <c r="O32" s="21"/>
      <c r="P32" s="23" t="s">
        <v>54</v>
      </c>
      <c r="Q32" s="24">
        <v>201.0</v>
      </c>
      <c r="R32" s="25">
        <v>998.0</v>
      </c>
      <c r="S32" s="25">
        <v>14518.0</v>
      </c>
      <c r="T32" s="25">
        <v>15.0</v>
      </c>
      <c r="U32" s="27">
        <f t="shared" ref="U32:U35" si="12">T32/R32</f>
        <v>0.01503006012</v>
      </c>
      <c r="V32" s="17"/>
    </row>
    <row r="33">
      <c r="A33" s="21"/>
      <c r="B33" s="23" t="s">
        <v>55</v>
      </c>
      <c r="C33" s="24">
        <v>23191.0</v>
      </c>
      <c r="D33" s="25">
        <v>129064.0</v>
      </c>
      <c r="E33" s="26">
        <v>4455060.0</v>
      </c>
      <c r="F33" s="25">
        <v>7755.0</v>
      </c>
      <c r="G33" s="27">
        <f t="shared" si="10"/>
        <v>0.06008646873</v>
      </c>
      <c r="H33" s="21"/>
      <c r="I33" s="23" t="s">
        <v>56</v>
      </c>
      <c r="J33" s="24">
        <v>12349.0</v>
      </c>
      <c r="K33" s="25">
        <v>41836.0</v>
      </c>
      <c r="L33" s="26">
        <v>812989.0</v>
      </c>
      <c r="M33" s="25">
        <v>9546.0</v>
      </c>
      <c r="N33" s="27">
        <f t="shared" si="11"/>
        <v>0.2281766899</v>
      </c>
      <c r="O33" s="21"/>
      <c r="P33" s="23" t="s">
        <v>57</v>
      </c>
      <c r="Q33" s="24">
        <v>135.0</v>
      </c>
      <c r="R33" s="25">
        <v>387.0</v>
      </c>
      <c r="S33" s="25">
        <v>9281.0</v>
      </c>
      <c r="T33" s="25">
        <v>9.0</v>
      </c>
      <c r="U33" s="27">
        <f t="shared" si="12"/>
        <v>0.02325581395</v>
      </c>
      <c r="V33" s="17"/>
    </row>
    <row r="34">
      <c r="A34" s="21"/>
      <c r="B34" s="23" t="s">
        <v>58</v>
      </c>
      <c r="C34" s="24">
        <v>29182.0</v>
      </c>
      <c r="D34" s="25">
        <v>135930.0</v>
      </c>
      <c r="E34" s="26">
        <v>8024262.0</v>
      </c>
      <c r="F34" s="25">
        <v>13321.0</v>
      </c>
      <c r="G34" s="27">
        <f t="shared" si="10"/>
        <v>0.09799897006</v>
      </c>
      <c r="H34" s="21"/>
      <c r="I34" s="23" t="s">
        <v>59</v>
      </c>
      <c r="J34" s="24">
        <v>9121.0</v>
      </c>
      <c r="K34" s="25">
        <v>25717.0</v>
      </c>
      <c r="L34" s="26">
        <v>605533.0</v>
      </c>
      <c r="M34" s="25">
        <v>6012.0</v>
      </c>
      <c r="N34" s="27">
        <f t="shared" si="11"/>
        <v>0.2337753237</v>
      </c>
      <c r="O34" s="21"/>
      <c r="P34" s="23" t="s">
        <v>60</v>
      </c>
      <c r="Q34" s="24">
        <v>249.0</v>
      </c>
      <c r="R34" s="25">
        <v>391.0</v>
      </c>
      <c r="S34" s="25">
        <v>11241.0</v>
      </c>
      <c r="T34" s="25">
        <v>5.0</v>
      </c>
      <c r="U34" s="27">
        <f t="shared" si="12"/>
        <v>0.01278772379</v>
      </c>
      <c r="V34" s="17"/>
    </row>
    <row r="35">
      <c r="A35" s="21"/>
      <c r="B35" s="23" t="s">
        <v>61</v>
      </c>
      <c r="C35" s="24">
        <v>15019.0</v>
      </c>
      <c r="D35" s="25">
        <v>129144.0</v>
      </c>
      <c r="E35" s="26">
        <v>2661730.0</v>
      </c>
      <c r="F35" s="25">
        <v>9762.0</v>
      </c>
      <c r="G35" s="27">
        <f t="shared" si="10"/>
        <v>0.07559003903</v>
      </c>
      <c r="H35" s="21"/>
      <c r="I35" s="23" t="s">
        <v>62</v>
      </c>
      <c r="J35" s="24">
        <v>11212.0</v>
      </c>
      <c r="K35" s="25">
        <v>36068.0</v>
      </c>
      <c r="L35" s="26">
        <v>728884.0</v>
      </c>
      <c r="M35" s="25">
        <v>8285.0</v>
      </c>
      <c r="N35" s="27">
        <f t="shared" si="11"/>
        <v>0.2297050017</v>
      </c>
      <c r="O35" s="21"/>
      <c r="P35" s="23" t="s">
        <v>63</v>
      </c>
      <c r="Q35" s="24">
        <v>121.0</v>
      </c>
      <c r="R35" s="25">
        <v>352.0</v>
      </c>
      <c r="S35" s="25">
        <v>8123.0</v>
      </c>
      <c r="T35" s="25">
        <v>2.0</v>
      </c>
      <c r="U35" s="27">
        <f t="shared" si="12"/>
        <v>0.005681818182</v>
      </c>
      <c r="V35" s="17"/>
    </row>
    <row r="36">
      <c r="A36" s="17"/>
      <c r="B36" s="28"/>
      <c r="C36" s="28"/>
      <c r="D36" s="28"/>
      <c r="E36" s="28"/>
      <c r="F36" s="28"/>
      <c r="G36" s="28"/>
      <c r="H36" s="17"/>
      <c r="I36" s="28"/>
      <c r="J36" s="28"/>
      <c r="K36" s="28"/>
      <c r="L36" s="28"/>
      <c r="M36" s="28"/>
      <c r="N36" s="28"/>
      <c r="O36" s="17"/>
      <c r="P36" s="28"/>
      <c r="Q36" s="28"/>
      <c r="R36" s="28"/>
      <c r="S36" s="28"/>
      <c r="T36" s="28"/>
      <c r="U36" s="28"/>
      <c r="V36" s="17"/>
    </row>
    <row r="37">
      <c r="A37" s="21"/>
      <c r="B37" s="30" t="s">
        <v>72</v>
      </c>
      <c r="C37" s="20"/>
      <c r="D37" s="20"/>
      <c r="E37" s="31"/>
      <c r="F37" s="32" t="s">
        <v>73</v>
      </c>
      <c r="G37" s="31"/>
      <c r="H37" s="21"/>
      <c r="I37" s="34" t="s">
        <v>72</v>
      </c>
      <c r="J37" s="20"/>
      <c r="K37" s="20"/>
      <c r="L37" s="31"/>
      <c r="M37" s="32" t="s">
        <v>74</v>
      </c>
      <c r="N37" s="31"/>
      <c r="O37" s="21"/>
      <c r="P37" s="30" t="s">
        <v>72</v>
      </c>
      <c r="Q37" s="20"/>
      <c r="R37" s="20"/>
      <c r="S37" s="31"/>
      <c r="T37" s="32" t="s">
        <v>57</v>
      </c>
      <c r="U37" s="31"/>
      <c r="V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</sheetData>
  <mergeCells count="37">
    <mergeCell ref="M10:N10"/>
    <mergeCell ref="P10:S10"/>
    <mergeCell ref="P12:U12"/>
    <mergeCell ref="B1:V1"/>
    <mergeCell ref="B3:G3"/>
    <mergeCell ref="I3:N3"/>
    <mergeCell ref="P3:U3"/>
    <mergeCell ref="F10:G10"/>
    <mergeCell ref="I10:L10"/>
    <mergeCell ref="T10:U10"/>
    <mergeCell ref="P19:S19"/>
    <mergeCell ref="T19:U19"/>
    <mergeCell ref="B21:G21"/>
    <mergeCell ref="I21:N21"/>
    <mergeCell ref="P21:U21"/>
    <mergeCell ref="B10:E10"/>
    <mergeCell ref="B12:G12"/>
    <mergeCell ref="I12:N12"/>
    <mergeCell ref="B19:E19"/>
    <mergeCell ref="F19:G19"/>
    <mergeCell ref="I19:L19"/>
    <mergeCell ref="M19:N19"/>
    <mergeCell ref="I30:N30"/>
    <mergeCell ref="P30:U30"/>
    <mergeCell ref="B37:E37"/>
    <mergeCell ref="F37:G37"/>
    <mergeCell ref="I37:L37"/>
    <mergeCell ref="M37:N37"/>
    <mergeCell ref="P37:S37"/>
    <mergeCell ref="T37:U37"/>
    <mergeCell ref="B28:E28"/>
    <mergeCell ref="F28:G28"/>
    <mergeCell ref="I28:L28"/>
    <mergeCell ref="M28:N28"/>
    <mergeCell ref="P28:S28"/>
    <mergeCell ref="T28:U28"/>
    <mergeCell ref="B30:G30"/>
  </mergeCells>
  <conditionalFormatting sqref="G5:G8 N5:N8 U5:U8 G14:G17 N14:N17 U14:U17 G23:G26 N23:N26 U23:U26 G32:G35 N32:N35 U32:U35">
    <cfRule type="containsText" dxfId="1" priority="1" operator="containsText" text="3.80%">
      <formula>NOT(ISERROR(SEARCH(("3.80%"),(G5))))</formula>
    </cfRule>
  </conditionalFormatting>
  <conditionalFormatting sqref="G6 N6 U6 G15 N15 U15 G24 N24 U24 G33 N33 U33">
    <cfRule type="containsText" dxfId="1" priority="2" operator="containsText" text="2.90%">
      <formula>NOT(ISERROR(SEARCH(("2.90%"),(G6))))</formula>
    </cfRule>
  </conditionalFormatting>
  <conditionalFormatting sqref="G7 N7 U7 G16 N16 U16 G25 N25 U25 G34 N34 U34">
    <cfRule type="containsText" dxfId="1" priority="3" operator="containsText" text="1.69%">
      <formula>NOT(ISERROR(SEARCH(("1.69%"),(G7))))</formula>
    </cfRule>
  </conditionalFormatting>
  <conditionalFormatting sqref="G8 N8 U8 G17 N17 U17 G26 N26 U26 G35 N35 U35">
    <cfRule type="containsText" dxfId="1" priority="4" operator="containsText" text="4.85%">
      <formula>NOT(ISERROR(SEARCH(("4.85%"),(G8))))</formula>
    </cfRule>
  </conditionalFormatting>
  <conditionalFormatting sqref="N5:N8 U5:U8">
    <cfRule type="containsText" dxfId="1" priority="5" operator="containsText" text="3.83%">
      <formula>NOT(ISERROR(SEARCH(("3.83%"),(N5))))</formula>
    </cfRule>
  </conditionalFormatting>
  <conditionalFormatting sqref="N6 U6">
    <cfRule type="containsText" dxfId="1" priority="6" operator="containsText" text="5.15%">
      <formula>NOT(ISERROR(SEARCH(("5.15%"),(N6))))</formula>
    </cfRule>
  </conditionalFormatting>
  <conditionalFormatting sqref="N7 U7">
    <cfRule type="containsText" dxfId="1" priority="7" operator="containsText" text="4.25%">
      <formula>NOT(ISERROR(SEARCH(("4.25%"),(N7))))</formula>
    </cfRule>
  </conditionalFormatting>
  <conditionalFormatting sqref="N8 U8">
    <cfRule type="containsText" dxfId="1" priority="8" operator="containsText" text="4.95%">
      <formula>NOT(ISERROR(SEARCH(("4.95%"),(N8))))</formula>
    </cfRule>
  </conditionalFormatting>
  <conditionalFormatting sqref="U5:U8">
    <cfRule type="containsText" dxfId="1" priority="9" operator="containsText" text="6.87%">
      <formula>NOT(ISERROR(SEARCH(("6.87%"),(U5))))</formula>
    </cfRule>
  </conditionalFormatting>
  <conditionalFormatting sqref="U6">
    <cfRule type="containsText" dxfId="1" priority="10" operator="containsText" text="4.17%">
      <formula>NOT(ISERROR(SEARCH(("4.17%"),(U6))))</formula>
    </cfRule>
  </conditionalFormatting>
  <conditionalFormatting sqref="U7">
    <cfRule type="containsText" dxfId="1" priority="11" operator="containsText" text="3.48%">
      <formula>NOT(ISERROR(SEARCH(("3.48%"),(U7))))</formula>
    </cfRule>
  </conditionalFormatting>
  <conditionalFormatting sqref="U8">
    <cfRule type="containsText" dxfId="1" priority="12" operator="containsText" text="4.33%">
      <formula>NOT(ISERROR(SEARCH(("4.33%"),(U8))))</formula>
    </cfRule>
  </conditionalFormatting>
  <conditionalFormatting sqref="U14:U17 U23:U26 U32:U35">
    <cfRule type="containsText" dxfId="1" priority="13" operator="containsText" text="$0.20">
      <formula>NOT(ISERROR(SEARCH(("$0.20"),(U14))))</formula>
    </cfRule>
  </conditionalFormatting>
  <conditionalFormatting sqref="U15 U24 U33">
    <cfRule type="containsText" dxfId="1" priority="14" operator="containsText" text="$0.35">
      <formula>NOT(ISERROR(SEARCH(("$0.35"),(U15))))</formula>
    </cfRule>
  </conditionalFormatting>
  <conditionalFormatting sqref="U16 U25 U34">
    <cfRule type="containsText" dxfId="1" priority="15" operator="containsText" text="$0.64">
      <formula>NOT(ISERROR(SEARCH(("$0.64"),(U16))))</formula>
    </cfRule>
  </conditionalFormatting>
  <conditionalFormatting sqref="U17 U26 U35">
    <cfRule type="containsText" dxfId="1" priority="16" operator="containsText" text="$0.34">
      <formula>NOT(ISERROR(SEARCH(("$0.34"),(U17))))</formula>
    </cfRule>
  </conditionalFormatting>
  <conditionalFormatting sqref="N14:N17 U14:U17 G23:G26 N23:N26 U23:U26 G32:G35 N32:N35 U32:U35">
    <cfRule type="containsText" dxfId="1" priority="17" operator="containsText" text="$0.39">
      <formula>NOT(ISERROR(SEARCH(("$0.39"),(N14))))</formula>
    </cfRule>
  </conditionalFormatting>
  <conditionalFormatting sqref="N15 U15 G24 N24 U24 G33 N33 U33">
    <cfRule type="containsText" dxfId="1" priority="18" operator="containsText" text="$0.30">
      <formula>NOT(ISERROR(SEARCH(("$0.30"),(N15))))</formula>
    </cfRule>
  </conditionalFormatting>
  <conditionalFormatting sqref="N16 U16 G25 N25 U25 G34 N34 U34">
    <cfRule type="containsText" dxfId="1" priority="19" operator="containsText" text="$0.35">
      <formula>NOT(ISERROR(SEARCH(("$0.35"),(N16))))</formula>
    </cfRule>
  </conditionalFormatting>
  <conditionalFormatting sqref="N17 U17 G26 N26 U26 G35 N35 U35">
    <cfRule type="containsText" dxfId="1" priority="20" operator="containsText" text="$0.31">
      <formula>NOT(ISERROR(SEARCH(("$0.31"),(N17))))</formula>
    </cfRule>
  </conditionalFormatting>
  <conditionalFormatting sqref="G14:G17 N14:N17 U14:U17 G23:G26 N23:N26 U23:U26 G32:G35 N32:N35 U32:U35">
    <cfRule type="containsText" dxfId="1" priority="21" operator="containsText" text="$0.14">
      <formula>NOT(ISERROR(SEARCH(("$0.14"),(G14))))</formula>
    </cfRule>
  </conditionalFormatting>
  <conditionalFormatting sqref="G15 N15 U15 G24 N24 U24 G33 N33 U33">
    <cfRule type="containsText" dxfId="1" priority="22" operator="containsText" text="$0.18">
      <formula>NOT(ISERROR(SEARCH(("$0.18"),(G15))))</formula>
    </cfRule>
  </conditionalFormatting>
  <conditionalFormatting sqref="G16 N16 U16 G25 N25 U25 G34 N34 U34">
    <cfRule type="containsText" dxfId="1" priority="23" operator="containsText" text="$0.21">
      <formula>NOT(ISERROR(SEARCH(("$0.21"),(G16))))</formula>
    </cfRule>
  </conditionalFormatting>
  <conditionalFormatting sqref="G17 N17 U17 G26 N26 U26 G35 N35 U35">
    <cfRule type="containsText" dxfId="1" priority="24" operator="containsText" text="$0.12">
      <formula>NOT(ISERROR(SEARCH(("$0.12"),(G17))))</formula>
    </cfRule>
  </conditionalFormatting>
  <conditionalFormatting sqref="U14:U17 G23:G26 N23:N26 U23:U26 G32:G35 N32:N35 U32:U35">
    <cfRule type="containsText" dxfId="1" priority="25" operator="containsText" text="$3.06">
      <formula>NOT(ISERROR(SEARCH(("$3.06"),(U14))))</formula>
    </cfRule>
  </conditionalFormatting>
  <conditionalFormatting sqref="U15 G24 N24 U24 G33 N33 U33">
    <cfRule type="containsText" dxfId="1" priority="26" operator="containsText" text="$2.99">
      <formula>NOT(ISERROR(SEARCH(("$2.99"),(U15))))</formula>
    </cfRule>
  </conditionalFormatting>
  <conditionalFormatting sqref="U16 G25 N25 U25 G34 N34 U34">
    <cfRule type="containsText" dxfId="1" priority="27" operator="containsText" text="$2.19">
      <formula>NOT(ISERROR(SEARCH(("$2.19"),(U16))))</formula>
    </cfRule>
  </conditionalFormatting>
  <conditionalFormatting sqref="U17 G26 N26 U26 G35 N35 U35">
    <cfRule type="containsText" dxfId="1" priority="28" operator="containsText" text="$1.54">
      <formula>NOT(ISERROR(SEARCH(("$1.54"),(U17))))</formula>
    </cfRule>
  </conditionalFormatting>
  <conditionalFormatting sqref="U14:U17 N23:N26 U23:U26 N32:N35 U32:U35">
    <cfRule type="containsText" dxfId="1" priority="29" operator="containsText" text="$0.91">
      <formula>NOT(ISERROR(SEARCH(("$0.91"),(U14))))</formula>
    </cfRule>
  </conditionalFormatting>
  <conditionalFormatting sqref="U15 N24 U24 N33 U33">
    <cfRule type="containsText" dxfId="1" priority="30" operator="containsText" text="$1.29">
      <formula>NOT(ISERROR(SEARCH(("$1.29"),(U15))))</formula>
    </cfRule>
  </conditionalFormatting>
  <conditionalFormatting sqref="U16 N25 U25 N34 U34">
    <cfRule type="containsText" dxfId="1" priority="31" operator="containsText" text="$1.52">
      <formula>NOT(ISERROR(SEARCH(("$1.52"),(U16))))</formula>
    </cfRule>
  </conditionalFormatting>
  <conditionalFormatting sqref="U17 N26 U26 N35 U35">
    <cfRule type="containsText" dxfId="1" priority="32" operator="containsText" text="$1.35">
      <formula>NOT(ISERROR(SEARCH(("$1.35"),(U17))))</formula>
    </cfRule>
  </conditionalFormatting>
  <conditionalFormatting sqref="U23:U26 U32:U35">
    <cfRule type="containsText" dxfId="1" priority="33" operator="containsText" text="$13.40">
      <formula>NOT(ISERROR(SEARCH(("$13.40"),(U23))))</formula>
    </cfRule>
  </conditionalFormatting>
  <conditionalFormatting sqref="U24 U33">
    <cfRule type="containsText" dxfId="1" priority="34" operator="containsText" text="$15.00">
      <formula>NOT(ISERROR(SEARCH(("$15.00"),(U24))))</formula>
    </cfRule>
  </conditionalFormatting>
  <conditionalFormatting sqref="U25 U34">
    <cfRule type="containsText" dxfId="1" priority="35" operator="containsText" text="$49.80">
      <formula>NOT(ISERROR(SEARCH(("$49.80"),(U25))))</formula>
    </cfRule>
  </conditionalFormatting>
  <conditionalFormatting sqref="U26 U35">
    <cfRule type="containsText" dxfId="1" priority="36" operator="containsText" text="$60.50">
      <formula>NOT(ISERROR(SEARCH(("$60.50"),(U26))))</formula>
    </cfRule>
  </conditionalFormatting>
  <conditionalFormatting sqref="U32:U35">
    <cfRule type="containsText" dxfId="1" priority="37" operator="containsText" text="1.50%">
      <formula>NOT(ISERROR(SEARCH(("1.50%"),(U32))))</formula>
    </cfRule>
  </conditionalFormatting>
  <conditionalFormatting sqref="U33">
    <cfRule type="containsText" dxfId="1" priority="38" operator="containsText" text="2.33%">
      <formula>NOT(ISERROR(SEARCH(("2.33%"),(U33))))</formula>
    </cfRule>
  </conditionalFormatting>
  <conditionalFormatting sqref="U34">
    <cfRule type="containsText" dxfId="1" priority="39" operator="containsText" text="1.28%">
      <formula>NOT(ISERROR(SEARCH(("1.28%"),(U34))))</formula>
    </cfRule>
  </conditionalFormatting>
  <conditionalFormatting sqref="U35">
    <cfRule type="containsText" dxfId="1" priority="40" operator="containsText" text="0.57%">
      <formula>NOT(ISERROR(SEARCH(("0.57%"),(U35))))</formula>
    </cfRule>
  </conditionalFormatting>
  <conditionalFormatting sqref="U14:U17 U23:U26 N32:N35 U32:U35">
    <cfRule type="containsText" dxfId="1" priority="41" operator="containsText" text="43.02%">
      <formula>NOT(ISERROR(SEARCH(("43.02%"),(U14))))</formula>
    </cfRule>
  </conditionalFormatting>
  <conditionalFormatting sqref="U15 U24 N33 U33">
    <cfRule type="containsText" dxfId="1" priority="42" operator="containsText" text="22.82%">
      <formula>NOT(ISERROR(SEARCH(("22.82%"),(U15))))</formula>
    </cfRule>
  </conditionalFormatting>
  <conditionalFormatting sqref="U16 U25 N34 U34">
    <cfRule type="containsText" dxfId="1" priority="43" operator="containsText" text="23.38%">
      <formula>NOT(ISERROR(SEARCH(("23.38%"),(U16))))</formula>
    </cfRule>
  </conditionalFormatting>
  <conditionalFormatting sqref="U17 U26 N35 U35">
    <cfRule type="containsText" dxfId="1" priority="44" operator="containsText" text="22.97%">
      <formula>NOT(ISERROR(SEARCH(("22.97%"),(U17))))</formula>
    </cfRule>
  </conditionalFormatting>
  <conditionalFormatting sqref="U14:U17 N23:N26 U23:U26 G32:G35 N32:N35 U32:U35">
    <cfRule type="containsText" dxfId="1" priority="45" operator="containsText" text="4.61%">
      <formula>NOT(ISERROR(SEARCH(("4.61%"),(U14))))</formula>
    </cfRule>
  </conditionalFormatting>
  <conditionalFormatting sqref="U15 N24 U24 G33 N33 U33">
    <cfRule type="containsText" dxfId="1" priority="46" operator="containsText" text="6.01%">
      <formula>NOT(ISERROR(SEARCH(("6.01%"),(U15))))</formula>
    </cfRule>
  </conditionalFormatting>
  <conditionalFormatting sqref="U16 N25 U25 G34 N34 U34">
    <cfRule type="containsText" dxfId="1" priority="47" operator="containsText" text="9.80%">
      <formula>NOT(ISERROR(SEARCH(("9.80%"),(U16))))</formula>
    </cfRule>
  </conditionalFormatting>
  <conditionalFormatting sqref="U17 N26 U26 G35 N35 U35">
    <cfRule type="containsText" dxfId="1" priority="48" operator="containsText" text="7.56%">
      <formula>NOT(ISERROR(SEARCH(("7.56%"),(U17))))</formula>
    </cfRule>
  </conditionalFormatting>
  <conditionalFormatting sqref="F10:G10">
    <cfRule type="containsText" dxfId="1" priority="49" operator="containsText" text="Call of Duty">
      <formula>NOT(ISERROR(SEARCH(("Call of Duty"),(F10))))</formula>
    </cfRule>
  </conditionalFormatting>
  <conditionalFormatting sqref="F19:G19">
    <cfRule type="containsText" dxfId="1" priority="50" operator="containsText" text="Call of Duty">
      <formula>NOT(ISERROR(SEARCH(("Call of Duty"),(F19))))</formula>
    </cfRule>
  </conditionalFormatting>
  <conditionalFormatting sqref="F28:G28">
    <cfRule type="containsText" dxfId="1" priority="51" operator="containsText" text="WoW">
      <formula>NOT(ISERROR(SEARCH(("WoW"),(F28))))</formula>
    </cfRule>
  </conditionalFormatting>
  <conditionalFormatting sqref="F37:G37">
    <cfRule type="containsText" dxfId="1" priority="52" operator="containsText" text="Call of Duty">
      <formula>NOT(ISERROR(SEARCH(("Call of Duty"),(F37))))</formula>
    </cfRule>
  </conditionalFormatting>
  <conditionalFormatting sqref="M37:N37">
    <cfRule type="containsText" dxfId="1" priority="53" operator="containsText" text="Saie">
      <formula>NOT(ISERROR(SEARCH(("Saie"),(M37))))</formula>
    </cfRule>
  </conditionalFormatting>
  <conditionalFormatting sqref="M28:N28">
    <cfRule type="containsText" dxfId="1" priority="54" operator="containsText" text="Charlotte Tilbury">
      <formula>NOT(ISERROR(SEARCH(("Charlotte Tilbury"),(M28))))</formula>
    </cfRule>
  </conditionalFormatting>
  <conditionalFormatting sqref="M19:N19">
    <cfRule type="containsText" dxfId="1" priority="55" operator="containsText" text="Patrick Ta">
      <formula>NOT(ISERROR(SEARCH(("Patrick Ta"),(M19))))</formula>
    </cfRule>
  </conditionalFormatting>
  <conditionalFormatting sqref="M10:N10">
    <cfRule type="containsText" dxfId="1" priority="56" operator="containsText" text="Patrick Ta">
      <formula>NOT(ISERROR(SEARCH(("Patrick Ta"),(M10))))</formula>
    </cfRule>
  </conditionalFormatting>
  <conditionalFormatting sqref="T10:U10">
    <cfRule type="containsText" dxfId="1" priority="57" operator="containsText" text="Honda Civic">
      <formula>NOT(ISERROR(SEARCH(("Honda Civic"),(T10))))</formula>
    </cfRule>
  </conditionalFormatting>
  <conditionalFormatting sqref="T19:U19">
    <cfRule type="containsText" dxfId="1" priority="58" operator="containsText" text="Honda Accord">
      <formula>NOT(ISERROR(SEARCH(("Honda Accord"),(T19))))</formula>
    </cfRule>
  </conditionalFormatting>
  <conditionalFormatting sqref="T28:U28">
    <cfRule type="containsText" dxfId="1" priority="59" operator="containsText" text="Honda Odyssey">
      <formula>NOT(ISERROR(SEARCH(("Honda Odyssey"),(T28))))</formula>
    </cfRule>
  </conditionalFormatting>
  <conditionalFormatting sqref="T37:U37">
    <cfRule type="containsText" dxfId="1" priority="60" operator="containsText" text="Honda CR-V">
      <formula>NOT(ISERROR(SEARCH(("Honda CR-V"),(T37))))</formula>
    </cfRule>
  </conditionalFormatting>
  <drawing r:id="rId1"/>
</worksheet>
</file>